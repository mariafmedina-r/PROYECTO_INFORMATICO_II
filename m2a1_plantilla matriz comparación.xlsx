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ecnico.registro2\Downloads\"/>
    </mc:Choice>
  </mc:AlternateContent>
  <xr:revisionPtr revIDLastSave="0" documentId="13_ncr:1_{3EC1F320-33AD-4508-AD47-051B32F4580C}" xr6:coauthVersionLast="47" xr6:coauthVersionMax="47" xr10:uidLastSave="{00000000-0000-0000-0000-000000000000}"/>
  <bookViews>
    <workbookView xWindow="-40920" yWindow="-885" windowWidth="19440" windowHeight="14880" activeTab="2" xr2:uid="{BA1439AF-23A6-4ED1-A67B-526F40733AF8}"/>
  </bookViews>
  <sheets>
    <sheet name="Escala de Pesos" sheetId="1" r:id="rId1"/>
    <sheet name="Guia para asignar el pesoCriter" sheetId="2" r:id="rId2"/>
    <sheet name="Matriz" sheetId="3" r:id="rId3"/>
    <sheet name="Justificar alternativa elegid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3" l="1"/>
  <c r="K5" i="3"/>
  <c r="K6" i="3"/>
  <c r="K7" i="3"/>
  <c r="K8" i="3"/>
  <c r="K3" i="3"/>
  <c r="H4" i="3"/>
  <c r="H5" i="3"/>
  <c r="H6" i="3"/>
  <c r="H7" i="3"/>
  <c r="H8" i="3"/>
  <c r="H3" i="3"/>
  <c r="E9" i="3"/>
  <c r="E4" i="3"/>
  <c r="E5" i="3"/>
  <c r="E6" i="3"/>
  <c r="E7" i="3"/>
  <c r="E8" i="3"/>
  <c r="E3" i="3"/>
  <c r="H9" i="3" l="1"/>
  <c r="K9" i="3"/>
</calcChain>
</file>

<file path=xl/sharedStrings.xml><?xml version="1.0" encoding="utf-8"?>
<sst xmlns="http://schemas.openxmlformats.org/spreadsheetml/2006/main" count="77" uniqueCount="68">
  <si>
    <t>1 – Poco relevante</t>
  </si>
  <si>
    <t>El criterio tiene un impacto menor en la decisión final. Puede ser tenido en cuenta, pero no determina la viabilidad.</t>
  </si>
  <si>
    <r>
      <t>Ejemplo:</t>
    </r>
    <r>
      <rPr>
        <sz val="11"/>
        <color rgb="FF000000"/>
        <rFont val="Calibri"/>
        <family val="2"/>
      </rPr>
      <t xml:space="preserve"> Costos de mantenimiento menores frente a un proyecto de bajo presupuesto.</t>
    </r>
  </si>
  <si>
    <t>2 – Relevancia baja</t>
  </si>
  <si>
    <t>El criterio influye, pero no de forma crítica. Puede marcar diferencia solo en ciertos escenarios.</t>
  </si>
  <si>
    <r>
      <t>Ejemplo:</t>
    </r>
    <r>
      <rPr>
        <sz val="11"/>
        <color rgb="FF000000"/>
        <rFont val="Calibri"/>
        <family val="2"/>
      </rPr>
      <t xml:space="preserve"> Nivel de satisfacción de algunos interesados secundarios.</t>
    </r>
  </si>
  <si>
    <t>3 – Relevancia media</t>
  </si>
  <si>
    <t>El criterio es importante y debe considerarse, pero no es decisivo por sí solo.</t>
  </si>
  <si>
    <r>
      <t>Ejemplo:</t>
    </r>
    <r>
      <rPr>
        <sz val="11"/>
        <color rgb="FF000000"/>
        <rFont val="Calibri"/>
        <family val="2"/>
      </rPr>
      <t xml:space="preserve"> Riesgos técnicos mitigables con buenas prácticas.</t>
    </r>
  </si>
  <si>
    <t>4 – Muy relevante</t>
  </si>
  <si>
    <t>El criterio impacta directamente en la calidad o viabilidad de la solución. De no cumplirse, compromete seriamente el éxito del proyecto.</t>
  </si>
  <si>
    <r>
      <t>Ejemplo:</t>
    </r>
    <r>
      <rPr>
        <sz val="11"/>
        <color rgb="FF000000"/>
        <rFont val="Calibri"/>
        <family val="2"/>
      </rPr>
      <t xml:space="preserve"> Cumplimiento de requerimientos funcionales principales.</t>
    </r>
  </si>
  <si>
    <t>5 – Crítico / determinante</t>
  </si>
  <si>
    <t>El criterio es esencial. Si la alternativa no lo cumple, no debería ser seleccionada.</t>
  </si>
  <si>
    <r>
      <t>Ejemplo:</t>
    </r>
    <r>
      <rPr>
        <sz val="11"/>
        <color rgb="FF000000"/>
        <rFont val="Calibri"/>
        <family val="2"/>
      </rPr>
      <t xml:space="preserve"> Factibilidad técnica mínima para garantizar que la solución pueda implementarse.</t>
    </r>
  </si>
  <si>
    <t>Criterio</t>
  </si>
  <si>
    <t>Peso sugerido</t>
  </si>
  <si>
    <t>Justificación</t>
  </si>
  <si>
    <t>Cumplimiento de requerimientos</t>
  </si>
  <si>
    <t>Es el núcleo del proyecto: si no cumple lo que el cliente necesita, no sirve.</t>
  </si>
  <si>
    <t>Factibilidad técnica</t>
  </si>
  <si>
    <t>La solución debe ser implementable con las capacidades disponibles.</t>
  </si>
  <si>
    <t>Escalabilidad</t>
  </si>
  <si>
    <t>Muy relevante si se prevé crecimiento del sistema.</t>
  </si>
  <si>
    <t>Costos estimados</t>
  </si>
  <si>
    <t>3 o 4</t>
  </si>
  <si>
    <t>Importante, pero balanceable contra calidad y valor entregado.</t>
  </si>
  <si>
    <t>Riesgos técnicos</t>
  </si>
  <si>
    <t>Se pueden mitigar, pero no deben ser ignorados.</t>
  </si>
  <si>
    <t>Satisfacción de partes interesadas</t>
  </si>
  <si>
    <t>Asegura aceptación y adopción de la solución.</t>
  </si>
  <si>
    <t xml:space="preserve">Peso ( 1 - 5) </t>
  </si>
  <si>
    <t xml:space="preserve">Puntaje ( 1 - 5) </t>
  </si>
  <si>
    <t>Ponderado</t>
  </si>
  <si>
    <t>Cumplimiento de Requerimientos</t>
  </si>
  <si>
    <t>Factibilidad Técnica</t>
  </si>
  <si>
    <t>Costos Estimados</t>
  </si>
  <si>
    <t>Riesgos Técnicos</t>
  </si>
  <si>
    <t>Satisfacción de las Partes Interesadas</t>
  </si>
  <si>
    <t>TOTAL PONDERADO</t>
  </si>
  <si>
    <t>PONDERADO A</t>
  </si>
  <si>
    <t>PONDERADO B</t>
  </si>
  <si>
    <t>PONDERADO C</t>
  </si>
  <si>
    <t>ALTERNATIVA CON MAYOR PUNTAJE</t>
  </si>
  <si>
    <t>X</t>
  </si>
  <si>
    <t>Describa en esta hoja la justificación de la alternativa escogida</t>
  </si>
  <si>
    <t>Alternativa A - Web a medida</t>
  </si>
  <si>
    <t>Alternativa B - CMS</t>
  </si>
  <si>
    <t>Alternativa C - Híbrida</t>
  </si>
  <si>
    <t>Presenta limitaciones en cuanto a personalización, especialmente en aspectos como la gestión de roles, trazabilidad del producto e integración con operadores logísticos</t>
  </si>
  <si>
    <t>Es altamente factible, ya que se basa en plataformas existentes que reducen significativamente el tiempo de implementación y la complejidad técnica.</t>
  </si>
  <si>
    <t>Reduce los riesgos técnicos al apoyarse en plataformas ya creadas, aunque introduce dependencia de terceros y limitaciones estructurales.</t>
  </si>
  <si>
    <t>Proporciona una satisfacción moderada, ya que permite una solución funcional en menor tiempo, pero con limitaciones que pueden afectar la experiencia de usuarios.</t>
  </si>
  <si>
    <t>La alternativa seleccionada corresponde a la Arquitectura Híbrida (Alternativa C), la cual obtuvo el mayor puntaje ponderado (4,55), destacándose frente a las demás opciones evaluadas.
Esta alternativa representa el mejor equilibrio entre cumplimiento de requerimientos, factibilidad técnica, escalabilidad y costos, aspectos clave para el éxito del proyecto “Marketplace Cafetero”.
En primer lugar, permite cumplir de manera integral con los requerimientos funcionales y no funcionales del sistema, al combinar el desarrollo de componentes propios (frontend y backend) con la integración de servicios externos especializados para funcionalidades críticas como carrito de compras, procesamiento de pagos y seguimiento de pedidos. Esto garantiza una solución robusta, alineada con las necesidades del negocio y con una experiencia de usuario completa.
Desde el punto de vista técnico, la solución es altamente viable, ya que reduce la complejidad del desarrollo al delegar procesos sensibles y complejos a plataformas externas confiables, lo que disminuye riesgos asociados a seguridad, disponibilidad y mantenimiento.
En cuanto a la escalabilidad, la arquitectura basada en servicios desacoplados y comunicación mediante APIs permite que el sistema crezca de manera flexible, facilitando la incorporación de nuevas funcionalidades sin afectar el núcleo del sistema.
Respecto a los costos, la alternativa optimiza los recursos al utilizar un modelo de pago por uso en los servicios externos, donde se cobra un porcentaje mínimo por transacción. Este esquema incluye mantenimiento, soporte y actualizaciones, lo que reduce significativamente la carga operativa del equipo de desarrollo. Adicionalmente, el uso de infraestructura serverless permite ajustar los costos al consumo real del sistema, evitando gastos innecesarios.
Finalmente, esta alternativa presenta un nivel de riesgo controlado y garantiza una alta satisfacción de las partes interesadas, al ofrecer una solución moderna, eficiente, escalable y sostenible en el tiempo.
Por estas razones, la Alternativa C se considera la opción más adecuada para la implementación del sistema.</t>
  </si>
  <si>
    <t>Presenta un alto nivel de cumplimiento, ya que permite implementar de manera completa todos los requerimientos funcionales definidos, incluyendo gestión de usuarios, productos, pedidos, pagos y logística.</t>
  </si>
  <si>
    <t>Presenta una factibilidad media, debido a que implica el desarrollo completo del sistema desde cero, lo que incrementa el tiempo de implementación y la complejidad técnica.</t>
  </si>
  <si>
    <t>Ofrece un alto nivel de escalabilidad, condicionado a la arquitectura implementada por el equipo de desarrollo y a la gestión adecuada de la infraestructura.</t>
  </si>
  <si>
    <t>Implica costos moderados, asociados al desarrollo completo, configuración de infraestructura y mantenimiento continuo del sistema.</t>
  </si>
  <si>
    <t>Presenta un riesgo medio, debido al desarrollo completo del sistema, lo que puede generar errores de implementación o dificultades en la integración de componentes.</t>
  </si>
  <si>
    <t>Genera una alta satisfacción al ofrecer una solución totalmente personalizada, aunque puede verse afectada por mayores tiempos de desarrollo.</t>
  </si>
  <si>
    <t>Presenta limitaciones en escalabilidad, ya que el crecimiento del sistema depende de las capacidades y restricciones de la plataforma utilizada.</t>
  </si>
  <si>
    <t>Presenta bajos costos iniciales al utilizar soluciones preconstruidas, aunque puede generar costos adicionales a largo plazo por licencias y dependencias de la plataforma.</t>
  </si>
  <si>
    <t>Presenta un alto nivel de cumplimiento, ya que la combinación de backend propio con servicios externos permite cubrir la totalidad de los requerimientos funcionales y no funcionales, manteniendo flexibilidad en la solución.</t>
  </si>
  <si>
    <t>Presenta una alta factibilidad técnica, ya que combina desarrollo propio con servicios externos especializados para funcionalidades críticas como autenticación, pagos, carrito de compras y seguimiento de pedidos, reduciendo complejidad y riesgos.</t>
  </si>
  <si>
    <t>Presenta un alto nivel de escalabilidad, gracias a su arquitectura basada en servicios desacoplados y APIs, lo que facilita la incorporación de nuevas funcionalidades y el crecimiento del sistema sin afectar su estructura.</t>
  </si>
  <si>
    <t>Presenta un balance favorable, al combinar desarrollo propio con servicios externos que operan bajo un modelo de pago por transacción, incluyendo mantenimiento y soporte, además del uso de infraestructura serverless que optimiza costos operativos.</t>
  </si>
  <si>
    <t>Presenta un riesgo moderado debido a la integración de múltiples servicios externos; sin embargo, este riesgo se mitiga mediante el uso de plataformas confiables y una arquitectura desacoplada que permite aislar fallos.</t>
  </si>
  <si>
    <t>Genera un alto nivel de satisfacción, al equilibrar funcionalidad, tiempo de implementación, escalabilidad y costos, cumpliendo las expectativas del negocio y del usuario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</si>
</sst>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1"/>
      <color rgb="FF000000"/>
      <name val="Calibri"/>
      <family val="2"/>
    </font>
    <font>
      <sz val="11"/>
      <color rgb="FF000000"/>
      <name val="Calibri"/>
      <family val="2"/>
    </font>
    <font>
      <i/>
      <sz val="11"/>
      <color rgb="FF000000"/>
      <name val="Calibri"/>
      <family val="2"/>
    </font>
    <font>
      <b/>
      <sz val="11"/>
      <color theme="0"/>
      <name val="Calibri"/>
      <family val="2"/>
    </font>
  </fonts>
  <fills count="6">
    <fill>
      <patternFill patternType="none"/>
    </fill>
    <fill>
      <patternFill patternType="gray125"/>
    </fill>
    <fill>
      <patternFill patternType="solid">
        <fgColor theme="4" tint="-0.249977111117893"/>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38">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center"/>
    </xf>
    <xf numFmtId="0" fontId="1" fillId="0" borderId="7"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xf numFmtId="0" fontId="2" fillId="3" borderId="8" xfId="0" applyFont="1" applyFill="1" applyBorder="1" applyAlignment="1">
      <alignment vertical="center"/>
    </xf>
    <xf numFmtId="0" fontId="2" fillId="3" borderId="9" xfId="0" applyFont="1" applyFill="1" applyBorder="1" applyAlignment="1">
      <alignment horizontal="center"/>
    </xf>
    <xf numFmtId="0" fontId="2" fillId="3" borderId="2" xfId="0" applyFont="1" applyFill="1" applyBorder="1" applyAlignment="1">
      <alignment vertical="center"/>
    </xf>
    <xf numFmtId="0" fontId="2" fillId="3" borderId="3" xfId="0" applyFont="1" applyFill="1" applyBorder="1" applyAlignment="1">
      <alignment horizontal="center"/>
    </xf>
    <xf numFmtId="0" fontId="2" fillId="3" borderId="4" xfId="0" applyFont="1" applyFill="1" applyBorder="1"/>
    <xf numFmtId="9" fontId="2" fillId="3" borderId="6" xfId="0" applyNumberFormat="1" applyFont="1" applyFill="1" applyBorder="1" applyAlignment="1">
      <alignment horizontal="center"/>
    </xf>
    <xf numFmtId="0" fontId="2" fillId="3" borderId="7" xfId="0" applyFont="1" applyFill="1" applyBorder="1"/>
    <xf numFmtId="0" fontId="3" fillId="4" borderId="8" xfId="0" applyFont="1" applyFill="1" applyBorder="1" applyAlignment="1">
      <alignment horizontal="center"/>
    </xf>
    <xf numFmtId="0" fontId="3" fillId="4" borderId="7" xfId="0" applyFont="1" applyFill="1" applyBorder="1" applyAlignment="1">
      <alignment vertical="center" wrapText="1"/>
    </xf>
    <xf numFmtId="0" fontId="3" fillId="4" borderId="9" xfId="0" applyFont="1" applyFill="1" applyBorder="1" applyAlignment="1">
      <alignment horizontal="center"/>
    </xf>
    <xf numFmtId="0" fontId="3" fillId="4" borderId="2" xfId="0" applyFont="1" applyFill="1" applyBorder="1" applyAlignment="1">
      <alignment horizontal="center"/>
    </xf>
    <xf numFmtId="0" fontId="3" fillId="4" borderId="1" xfId="0" applyFont="1" applyFill="1" applyBorder="1" applyAlignment="1">
      <alignment vertical="center" wrapText="1"/>
    </xf>
    <xf numFmtId="0" fontId="3" fillId="4" borderId="3" xfId="0" applyFont="1" applyFill="1" applyBorder="1" applyAlignment="1">
      <alignment horizontal="center"/>
    </xf>
    <xf numFmtId="0" fontId="0" fillId="4" borderId="1" xfId="0" applyFill="1" applyBorder="1" applyAlignment="1">
      <alignment vertical="center" wrapText="1"/>
    </xf>
    <xf numFmtId="0" fontId="2" fillId="4" borderId="4" xfId="0" applyFont="1" applyFill="1" applyBorder="1" applyAlignment="1">
      <alignment horizontal="center"/>
    </xf>
    <xf numFmtId="0" fontId="2" fillId="4" borderId="5" xfId="0" applyFont="1" applyFill="1" applyBorder="1"/>
    <xf numFmtId="0" fontId="2" fillId="4" borderId="6" xfId="0" applyFont="1" applyFill="1" applyBorder="1" applyAlignment="1">
      <alignment horizontal="center"/>
    </xf>
    <xf numFmtId="0" fontId="3" fillId="5" borderId="8" xfId="0" applyFont="1" applyFill="1" applyBorder="1" applyAlignment="1">
      <alignment horizontal="center"/>
    </xf>
    <xf numFmtId="0" fontId="3" fillId="5" borderId="7" xfId="0" applyFont="1" applyFill="1" applyBorder="1" applyAlignment="1">
      <alignment vertical="center" wrapText="1"/>
    </xf>
    <xf numFmtId="0" fontId="3" fillId="5" borderId="9" xfId="0" applyFont="1" applyFill="1" applyBorder="1" applyAlignment="1">
      <alignment horizontal="center"/>
    </xf>
    <xf numFmtId="0" fontId="3" fillId="5" borderId="2" xfId="0" applyFont="1" applyFill="1" applyBorder="1" applyAlignment="1">
      <alignment horizontal="center"/>
    </xf>
    <xf numFmtId="0" fontId="3" fillId="5" borderId="1" xfId="0" applyFont="1" applyFill="1" applyBorder="1" applyAlignment="1">
      <alignment vertical="center" wrapText="1"/>
    </xf>
    <xf numFmtId="0" fontId="3" fillId="5" borderId="3" xfId="0" applyFont="1" applyFill="1" applyBorder="1" applyAlignment="1">
      <alignment horizontal="center"/>
    </xf>
    <xf numFmtId="0" fontId="0" fillId="5" borderId="1" xfId="0" applyFill="1" applyBorder="1" applyAlignment="1">
      <alignment vertical="center" wrapText="1"/>
    </xf>
    <xf numFmtId="0" fontId="2" fillId="5" borderId="4" xfId="0" applyFont="1" applyFill="1" applyBorder="1" applyAlignment="1">
      <alignment horizontal="center"/>
    </xf>
    <xf numFmtId="0" fontId="2" fillId="5" borderId="5" xfId="0" applyFont="1" applyFill="1" applyBorder="1"/>
    <xf numFmtId="0" fontId="2" fillId="5" borderId="6" xfId="0" applyFont="1" applyFill="1" applyBorder="1" applyAlignment="1">
      <alignment horizontal="center"/>
    </xf>
    <xf numFmtId="0" fontId="5" fillId="2" borderId="1" xfId="0" applyFont="1" applyFill="1" applyBorder="1" applyAlignment="1">
      <alignment horizontal="center"/>
    </xf>
    <xf numFmtId="0" fontId="5" fillId="2" borderId="0" xfId="0" applyFont="1" applyFill="1" applyAlignment="1">
      <alignment horizontal="center" vertical="center"/>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CB0C-13EE-449B-A98A-C90C4E9A5DA0}">
  <dimension ref="A1:A15"/>
  <sheetViews>
    <sheetView workbookViewId="0">
      <selection sqref="A1:A15"/>
    </sheetView>
  </sheetViews>
  <sheetFormatPr baseColWidth="10" defaultRowHeight="14"/>
  <cols>
    <col min="1" max="1" width="124.75" bestFit="1" customWidth="1"/>
  </cols>
  <sheetData>
    <row r="1" spans="1:1" ht="14.5">
      <c r="A1" s="1" t="s">
        <v>0</v>
      </c>
    </row>
    <row r="2" spans="1:1" ht="14.5">
      <c r="A2" s="2" t="s">
        <v>1</v>
      </c>
    </row>
    <row r="3" spans="1:1" ht="14.5">
      <c r="A3" s="3" t="s">
        <v>2</v>
      </c>
    </row>
    <row r="4" spans="1:1" ht="14.5">
      <c r="A4" s="1" t="s">
        <v>3</v>
      </c>
    </row>
    <row r="5" spans="1:1" ht="14.5">
      <c r="A5" s="2" t="s">
        <v>4</v>
      </c>
    </row>
    <row r="6" spans="1:1" ht="14.5">
      <c r="A6" s="3" t="s">
        <v>5</v>
      </c>
    </row>
    <row r="7" spans="1:1" ht="14.5">
      <c r="A7" s="1" t="s">
        <v>6</v>
      </c>
    </row>
    <row r="8" spans="1:1" ht="14.5">
      <c r="A8" s="2" t="s">
        <v>7</v>
      </c>
    </row>
    <row r="9" spans="1:1" ht="14.5">
      <c r="A9" s="3" t="s">
        <v>8</v>
      </c>
    </row>
    <row r="10" spans="1:1" ht="14.5">
      <c r="A10" s="1" t="s">
        <v>9</v>
      </c>
    </row>
    <row r="11" spans="1:1" ht="14.5">
      <c r="A11" s="2" t="s">
        <v>10</v>
      </c>
    </row>
    <row r="12" spans="1:1" ht="14.5">
      <c r="A12" s="3" t="s">
        <v>11</v>
      </c>
    </row>
    <row r="13" spans="1:1" ht="14.5">
      <c r="A13" s="1" t="s">
        <v>12</v>
      </c>
    </row>
    <row r="14" spans="1:1" ht="14.5">
      <c r="A14" s="2" t="s">
        <v>13</v>
      </c>
    </row>
    <row r="15" spans="1:1" ht="14.5">
      <c r="A15" s="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048DB-E634-4DC5-8DB9-CA324D5E1E71}">
  <dimension ref="A1:C7"/>
  <sheetViews>
    <sheetView workbookViewId="0">
      <selection activeCell="C28" sqref="C28"/>
    </sheetView>
  </sheetViews>
  <sheetFormatPr baseColWidth="10" defaultRowHeight="14"/>
  <cols>
    <col min="1" max="1" width="31.25" bestFit="1" customWidth="1"/>
    <col min="2" max="2" width="13.4140625" bestFit="1" customWidth="1"/>
    <col min="3" max="3" width="67.83203125" bestFit="1" customWidth="1"/>
  </cols>
  <sheetData>
    <row r="1" spans="1:3" ht="14.5">
      <c r="A1" s="1" t="s">
        <v>15</v>
      </c>
      <c r="B1" s="1" t="s">
        <v>16</v>
      </c>
      <c r="C1" s="1" t="s">
        <v>17</v>
      </c>
    </row>
    <row r="2" spans="1:3" ht="14.5">
      <c r="A2" s="2" t="s">
        <v>18</v>
      </c>
      <c r="B2" s="4">
        <v>5</v>
      </c>
      <c r="C2" s="2" t="s">
        <v>19</v>
      </c>
    </row>
    <row r="3" spans="1:3" ht="14.5">
      <c r="A3" s="2" t="s">
        <v>20</v>
      </c>
      <c r="B3" s="4">
        <v>5</v>
      </c>
      <c r="C3" s="2" t="s">
        <v>21</v>
      </c>
    </row>
    <row r="4" spans="1:3" ht="14.5">
      <c r="A4" s="2" t="s">
        <v>22</v>
      </c>
      <c r="B4" s="4">
        <v>4</v>
      </c>
      <c r="C4" s="2" t="s">
        <v>23</v>
      </c>
    </row>
    <row r="5" spans="1:3" ht="14.5">
      <c r="A5" s="2" t="s">
        <v>24</v>
      </c>
      <c r="B5" s="4" t="s">
        <v>25</v>
      </c>
      <c r="C5" s="2" t="s">
        <v>26</v>
      </c>
    </row>
    <row r="6" spans="1:3" ht="14.5">
      <c r="A6" s="2" t="s">
        <v>27</v>
      </c>
      <c r="B6" s="4">
        <v>3</v>
      </c>
      <c r="C6" s="2" t="s">
        <v>28</v>
      </c>
    </row>
    <row r="7" spans="1:3" ht="14.5">
      <c r="A7" s="2" t="s">
        <v>29</v>
      </c>
      <c r="B7" s="4">
        <v>4</v>
      </c>
      <c r="C7" s="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1739-7D4A-4C9C-932B-6031384ACC62}">
  <dimension ref="A1:K10"/>
  <sheetViews>
    <sheetView showGridLines="0" tabSelected="1" topLeftCell="E1" zoomScale="90" zoomScaleNormal="90" workbookViewId="0">
      <pane ySplit="1" topLeftCell="A2" activePane="bottomLeft" state="frozen"/>
      <selection pane="bottomLeft" activeCell="G8" sqref="G8"/>
    </sheetView>
  </sheetViews>
  <sheetFormatPr baseColWidth="10" defaultRowHeight="14"/>
  <cols>
    <col min="1" max="1" width="34.25" bestFit="1" customWidth="1"/>
    <col min="2" max="2" width="11.58203125" bestFit="1" customWidth="1"/>
    <col min="3" max="3" width="14.1640625" bestFit="1" customWidth="1"/>
    <col min="4" max="4" width="43.75" customWidth="1"/>
    <col min="5" max="5" width="10.75" bestFit="1" customWidth="1"/>
    <col min="6" max="6" width="14.1640625" bestFit="1" customWidth="1"/>
    <col min="7" max="7" width="37.4140625" customWidth="1"/>
    <col min="8" max="8" width="10.75" bestFit="1" customWidth="1"/>
    <col min="9" max="9" width="14.1640625" bestFit="1" customWidth="1"/>
    <col min="10" max="10" width="46.25" customWidth="1"/>
    <col min="11" max="11" width="10.75" bestFit="1" customWidth="1"/>
  </cols>
  <sheetData>
    <row r="1" spans="1:11" ht="14.5">
      <c r="A1" s="35" t="s">
        <v>15</v>
      </c>
      <c r="B1" s="7"/>
      <c r="C1" s="35" t="s">
        <v>46</v>
      </c>
      <c r="D1" s="35"/>
      <c r="E1" s="35"/>
      <c r="F1" s="35" t="s">
        <v>47</v>
      </c>
      <c r="G1" s="35"/>
      <c r="H1" s="35"/>
      <c r="I1" s="35" t="s">
        <v>48</v>
      </c>
      <c r="J1" s="35"/>
      <c r="K1" s="35"/>
    </row>
    <row r="2" spans="1:11" ht="14.5">
      <c r="A2" s="35"/>
      <c r="B2" s="6" t="s">
        <v>31</v>
      </c>
      <c r="C2" s="6" t="s">
        <v>32</v>
      </c>
      <c r="D2" s="6" t="s">
        <v>17</v>
      </c>
      <c r="E2" s="6" t="s">
        <v>33</v>
      </c>
      <c r="F2" s="6" t="s">
        <v>32</v>
      </c>
      <c r="G2" s="6" t="s">
        <v>17</v>
      </c>
      <c r="H2" s="6" t="s">
        <v>33</v>
      </c>
      <c r="I2" s="6" t="s">
        <v>32</v>
      </c>
      <c r="J2" s="6" t="s">
        <v>17</v>
      </c>
      <c r="K2" s="6" t="s">
        <v>33</v>
      </c>
    </row>
    <row r="3" spans="1:11" ht="72.5">
      <c r="A3" s="8" t="s">
        <v>34</v>
      </c>
      <c r="B3" s="9">
        <v>25</v>
      </c>
      <c r="C3" s="15">
        <v>5</v>
      </c>
      <c r="D3" s="16" t="s">
        <v>54</v>
      </c>
      <c r="E3" s="17">
        <f>B3*C3</f>
        <v>125</v>
      </c>
      <c r="F3" s="25">
        <v>3</v>
      </c>
      <c r="G3" s="26" t="s">
        <v>49</v>
      </c>
      <c r="H3" s="27">
        <f>B3*F3</f>
        <v>75</v>
      </c>
      <c r="I3" s="15">
        <v>5</v>
      </c>
      <c r="J3" s="16" t="s">
        <v>62</v>
      </c>
      <c r="K3" s="17">
        <f>B3*I3</f>
        <v>125</v>
      </c>
    </row>
    <row r="4" spans="1:11" ht="72.5">
      <c r="A4" s="10" t="s">
        <v>35</v>
      </c>
      <c r="B4" s="11">
        <v>20</v>
      </c>
      <c r="C4" s="18">
        <v>3</v>
      </c>
      <c r="D4" s="19" t="s">
        <v>55</v>
      </c>
      <c r="E4" s="20">
        <f t="shared" ref="E4:E8" si="0">B4*C4</f>
        <v>60</v>
      </c>
      <c r="F4" s="28">
        <v>5</v>
      </c>
      <c r="G4" s="29" t="s">
        <v>50</v>
      </c>
      <c r="H4" s="30">
        <f t="shared" ref="H4:H8" si="1">B4*F4</f>
        <v>100</v>
      </c>
      <c r="I4" s="18">
        <v>4</v>
      </c>
      <c r="J4" s="19" t="s">
        <v>63</v>
      </c>
      <c r="K4" s="20">
        <f t="shared" ref="K4:K8" si="2">B4*I4</f>
        <v>80</v>
      </c>
    </row>
    <row r="5" spans="1:11" ht="70">
      <c r="A5" s="10" t="s">
        <v>22</v>
      </c>
      <c r="B5" s="11">
        <v>20</v>
      </c>
      <c r="C5" s="18">
        <v>4</v>
      </c>
      <c r="D5" s="21" t="s">
        <v>56</v>
      </c>
      <c r="E5" s="20">
        <f t="shared" si="0"/>
        <v>80</v>
      </c>
      <c r="F5" s="28">
        <v>2</v>
      </c>
      <c r="G5" s="31" t="s">
        <v>60</v>
      </c>
      <c r="H5" s="30">
        <f t="shared" si="1"/>
        <v>40</v>
      </c>
      <c r="I5" s="18">
        <v>5</v>
      </c>
      <c r="J5" s="21" t="s">
        <v>64</v>
      </c>
      <c r="K5" s="20">
        <f t="shared" si="2"/>
        <v>100</v>
      </c>
    </row>
    <row r="6" spans="1:11" ht="72.5">
      <c r="A6" s="10" t="s">
        <v>36</v>
      </c>
      <c r="B6" s="11">
        <v>15</v>
      </c>
      <c r="C6" s="18">
        <v>3</v>
      </c>
      <c r="D6" s="19" t="s">
        <v>57</v>
      </c>
      <c r="E6" s="20">
        <f t="shared" si="0"/>
        <v>45</v>
      </c>
      <c r="F6" s="28">
        <v>5</v>
      </c>
      <c r="G6" s="29" t="s">
        <v>61</v>
      </c>
      <c r="H6" s="30">
        <f t="shared" si="1"/>
        <v>75</v>
      </c>
      <c r="I6" s="18">
        <v>4</v>
      </c>
      <c r="J6" s="19" t="s">
        <v>65</v>
      </c>
      <c r="K6" s="20">
        <f t="shared" si="2"/>
        <v>60</v>
      </c>
    </row>
    <row r="7" spans="1:11" ht="58">
      <c r="A7" s="10" t="s">
        <v>37</v>
      </c>
      <c r="B7" s="11">
        <v>10</v>
      </c>
      <c r="C7" s="18">
        <v>3</v>
      </c>
      <c r="D7" s="19" t="s">
        <v>58</v>
      </c>
      <c r="E7" s="20">
        <f t="shared" si="0"/>
        <v>30</v>
      </c>
      <c r="F7" s="28">
        <v>4</v>
      </c>
      <c r="G7" s="29" t="s">
        <v>51</v>
      </c>
      <c r="H7" s="30">
        <f t="shared" si="1"/>
        <v>40</v>
      </c>
      <c r="I7" s="18">
        <v>4</v>
      </c>
      <c r="J7" s="19" t="s">
        <v>66</v>
      </c>
      <c r="K7" s="20">
        <f t="shared" si="2"/>
        <v>40</v>
      </c>
    </row>
    <row r="8" spans="1:11" ht="58">
      <c r="A8" s="10" t="s">
        <v>38</v>
      </c>
      <c r="B8" s="11">
        <v>10</v>
      </c>
      <c r="C8" s="18">
        <v>4</v>
      </c>
      <c r="D8" s="19" t="s">
        <v>59</v>
      </c>
      <c r="E8" s="20">
        <f t="shared" si="0"/>
        <v>40</v>
      </c>
      <c r="F8" s="28">
        <v>3</v>
      </c>
      <c r="G8" s="29" t="s">
        <v>52</v>
      </c>
      <c r="H8" s="30">
        <f t="shared" si="1"/>
        <v>30</v>
      </c>
      <c r="I8" s="18">
        <v>5</v>
      </c>
      <c r="J8" s="19" t="s">
        <v>67</v>
      </c>
      <c r="K8" s="20">
        <f t="shared" si="2"/>
        <v>50</v>
      </c>
    </row>
    <row r="9" spans="1:11" ht="15" thickBot="1">
      <c r="A9" s="12" t="s">
        <v>39</v>
      </c>
      <c r="B9" s="13">
        <v>1</v>
      </c>
      <c r="C9" s="22"/>
      <c r="D9" s="23" t="s">
        <v>40</v>
      </c>
      <c r="E9" s="24">
        <f>SUM(E3:E8)/100</f>
        <v>3.8</v>
      </c>
      <c r="F9" s="32"/>
      <c r="G9" s="33" t="s">
        <v>41</v>
      </c>
      <c r="H9" s="34">
        <f>SUM(H3:H8)/100</f>
        <v>3.6</v>
      </c>
      <c r="I9" s="22"/>
      <c r="J9" s="23" t="s">
        <v>42</v>
      </c>
      <c r="K9" s="24">
        <f>SUM(K3:K8)/100</f>
        <v>4.55</v>
      </c>
    </row>
    <row r="10" spans="1:11" ht="14.5">
      <c r="A10" s="14" t="s">
        <v>43</v>
      </c>
      <c r="K10" s="5" t="s">
        <v>44</v>
      </c>
    </row>
  </sheetData>
  <mergeCells count="4">
    <mergeCell ref="C1:E1"/>
    <mergeCell ref="F1:H1"/>
    <mergeCell ref="I1:K1"/>
    <mergeCell ref="A1: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11BA-14C8-4590-89ED-524A540395EB}">
  <dimension ref="A1:F44"/>
  <sheetViews>
    <sheetView workbookViewId="0">
      <selection activeCell="A2" sqref="A2:F44"/>
    </sheetView>
  </sheetViews>
  <sheetFormatPr baseColWidth="10" defaultRowHeight="14"/>
  <cols>
    <col min="6" max="6" width="59.58203125" customWidth="1"/>
  </cols>
  <sheetData>
    <row r="1" spans="1:6" ht="24.75" customHeight="1">
      <c r="A1" s="36" t="s">
        <v>45</v>
      </c>
      <c r="B1" s="36"/>
      <c r="C1" s="36"/>
      <c r="D1" s="36"/>
      <c r="E1" s="36"/>
      <c r="F1" s="36"/>
    </row>
    <row r="2" spans="1:6" ht="15" customHeight="1">
      <c r="A2" s="37" t="s">
        <v>53</v>
      </c>
      <c r="B2" s="37"/>
      <c r="C2" s="37"/>
      <c r="D2" s="37"/>
      <c r="E2" s="37"/>
      <c r="F2" s="37"/>
    </row>
    <row r="3" spans="1:6">
      <c r="A3" s="37"/>
      <c r="B3" s="37"/>
      <c r="C3" s="37"/>
      <c r="D3" s="37"/>
      <c r="E3" s="37"/>
      <c r="F3" s="37"/>
    </row>
    <row r="4" spans="1:6">
      <c r="A4" s="37"/>
      <c r="B4" s="37"/>
      <c r="C4" s="37"/>
      <c r="D4" s="37"/>
      <c r="E4" s="37"/>
      <c r="F4" s="37"/>
    </row>
    <row r="5" spans="1:6">
      <c r="A5" s="37"/>
      <c r="B5" s="37"/>
      <c r="C5" s="37"/>
      <c r="D5" s="37"/>
      <c r="E5" s="37"/>
      <c r="F5" s="37"/>
    </row>
    <row r="6" spans="1:6">
      <c r="A6" s="37"/>
      <c r="B6" s="37"/>
      <c r="C6" s="37"/>
      <c r="D6" s="37"/>
      <c r="E6" s="37"/>
      <c r="F6" s="37"/>
    </row>
    <row r="7" spans="1:6">
      <c r="A7" s="37"/>
      <c r="B7" s="37"/>
      <c r="C7" s="37"/>
      <c r="D7" s="37"/>
      <c r="E7" s="37"/>
      <c r="F7" s="37"/>
    </row>
    <row r="8" spans="1:6">
      <c r="A8" s="37"/>
      <c r="B8" s="37"/>
      <c r="C8" s="37"/>
      <c r="D8" s="37"/>
      <c r="E8" s="37"/>
      <c r="F8" s="37"/>
    </row>
    <row r="9" spans="1:6">
      <c r="A9" s="37"/>
      <c r="B9" s="37"/>
      <c r="C9" s="37"/>
      <c r="D9" s="37"/>
      <c r="E9" s="37"/>
      <c r="F9" s="37"/>
    </row>
    <row r="10" spans="1:6">
      <c r="A10" s="37"/>
      <c r="B10" s="37"/>
      <c r="C10" s="37"/>
      <c r="D10" s="37"/>
      <c r="E10" s="37"/>
      <c r="F10" s="37"/>
    </row>
    <row r="11" spans="1:6">
      <c r="A11" s="37"/>
      <c r="B11" s="37"/>
      <c r="C11" s="37"/>
      <c r="D11" s="37"/>
      <c r="E11" s="37"/>
      <c r="F11" s="37"/>
    </row>
    <row r="12" spans="1:6">
      <c r="A12" s="37"/>
      <c r="B12" s="37"/>
      <c r="C12" s="37"/>
      <c r="D12" s="37"/>
      <c r="E12" s="37"/>
      <c r="F12" s="37"/>
    </row>
    <row r="13" spans="1:6">
      <c r="A13" s="37"/>
      <c r="B13" s="37"/>
      <c r="C13" s="37"/>
      <c r="D13" s="37"/>
      <c r="E13" s="37"/>
      <c r="F13" s="37"/>
    </row>
    <row r="14" spans="1:6">
      <c r="A14" s="37"/>
      <c r="B14" s="37"/>
      <c r="C14" s="37"/>
      <c r="D14" s="37"/>
      <c r="E14" s="37"/>
      <c r="F14" s="37"/>
    </row>
    <row r="15" spans="1:6">
      <c r="A15" s="37"/>
      <c r="B15" s="37"/>
      <c r="C15" s="37"/>
      <c r="D15" s="37"/>
      <c r="E15" s="37"/>
      <c r="F15" s="37"/>
    </row>
    <row r="16" spans="1:6">
      <c r="A16" s="37"/>
      <c r="B16" s="37"/>
      <c r="C16" s="37"/>
      <c r="D16" s="37"/>
      <c r="E16" s="37"/>
      <c r="F16" s="37"/>
    </row>
    <row r="17" spans="1:6">
      <c r="A17" s="37"/>
      <c r="B17" s="37"/>
      <c r="C17" s="37"/>
      <c r="D17" s="37"/>
      <c r="E17" s="37"/>
      <c r="F17" s="37"/>
    </row>
    <row r="18" spans="1:6">
      <c r="A18" s="37"/>
      <c r="B18" s="37"/>
      <c r="C18" s="37"/>
      <c r="D18" s="37"/>
      <c r="E18" s="37"/>
      <c r="F18" s="37"/>
    </row>
    <row r="19" spans="1:6">
      <c r="A19" s="37"/>
      <c r="B19" s="37"/>
      <c r="C19" s="37"/>
      <c r="D19" s="37"/>
      <c r="E19" s="37"/>
      <c r="F19" s="37"/>
    </row>
    <row r="20" spans="1:6">
      <c r="A20" s="37"/>
      <c r="B20" s="37"/>
      <c r="C20" s="37"/>
      <c r="D20" s="37"/>
      <c r="E20" s="37"/>
      <c r="F20" s="37"/>
    </row>
    <row r="21" spans="1:6">
      <c r="A21" s="37"/>
      <c r="B21" s="37"/>
      <c r="C21" s="37"/>
      <c r="D21" s="37"/>
      <c r="E21" s="37"/>
      <c r="F21" s="37"/>
    </row>
    <row r="22" spans="1:6">
      <c r="A22" s="37"/>
      <c r="B22" s="37"/>
      <c r="C22" s="37"/>
      <c r="D22" s="37"/>
      <c r="E22" s="37"/>
      <c r="F22" s="37"/>
    </row>
    <row r="23" spans="1:6">
      <c r="A23" s="37"/>
      <c r="B23" s="37"/>
      <c r="C23" s="37"/>
      <c r="D23" s="37"/>
      <c r="E23" s="37"/>
      <c r="F23" s="37"/>
    </row>
    <row r="24" spans="1:6">
      <c r="A24" s="37"/>
      <c r="B24" s="37"/>
      <c r="C24" s="37"/>
      <c r="D24" s="37"/>
      <c r="E24" s="37"/>
      <c r="F24" s="37"/>
    </row>
    <row r="25" spans="1:6">
      <c r="A25" s="37"/>
      <c r="B25" s="37"/>
      <c r="C25" s="37"/>
      <c r="D25" s="37"/>
      <c r="E25" s="37"/>
      <c r="F25" s="37"/>
    </row>
    <row r="26" spans="1:6">
      <c r="A26" s="37"/>
      <c r="B26" s="37"/>
      <c r="C26" s="37"/>
      <c r="D26" s="37"/>
      <c r="E26" s="37"/>
      <c r="F26" s="37"/>
    </row>
    <row r="27" spans="1:6">
      <c r="A27" s="37"/>
      <c r="B27" s="37"/>
      <c r="C27" s="37"/>
      <c r="D27" s="37"/>
      <c r="E27" s="37"/>
      <c r="F27" s="37"/>
    </row>
    <row r="28" spans="1:6">
      <c r="A28" s="37"/>
      <c r="B28" s="37"/>
      <c r="C28" s="37"/>
      <c r="D28" s="37"/>
      <c r="E28" s="37"/>
      <c r="F28" s="37"/>
    </row>
    <row r="29" spans="1:6">
      <c r="A29" s="37"/>
      <c r="B29" s="37"/>
      <c r="C29" s="37"/>
      <c r="D29" s="37"/>
      <c r="E29" s="37"/>
      <c r="F29" s="37"/>
    </row>
    <row r="30" spans="1:6">
      <c r="A30" s="37"/>
      <c r="B30" s="37"/>
      <c r="C30" s="37"/>
      <c r="D30" s="37"/>
      <c r="E30" s="37"/>
      <c r="F30" s="37"/>
    </row>
    <row r="31" spans="1:6">
      <c r="A31" s="37"/>
      <c r="B31" s="37"/>
      <c r="C31" s="37"/>
      <c r="D31" s="37"/>
      <c r="E31" s="37"/>
      <c r="F31" s="37"/>
    </row>
    <row r="32" spans="1:6">
      <c r="A32" s="37"/>
      <c r="B32" s="37"/>
      <c r="C32" s="37"/>
      <c r="D32" s="37"/>
      <c r="E32" s="37"/>
      <c r="F32" s="37"/>
    </row>
    <row r="33" spans="1:6">
      <c r="A33" s="37"/>
      <c r="B33" s="37"/>
      <c r="C33" s="37"/>
      <c r="D33" s="37"/>
      <c r="E33" s="37"/>
      <c r="F33" s="37"/>
    </row>
    <row r="34" spans="1:6">
      <c r="A34" s="37"/>
      <c r="B34" s="37"/>
      <c r="C34" s="37"/>
      <c r="D34" s="37"/>
      <c r="E34" s="37"/>
      <c r="F34" s="37"/>
    </row>
    <row r="35" spans="1:6">
      <c r="A35" s="37"/>
      <c r="B35" s="37"/>
      <c r="C35" s="37"/>
      <c r="D35" s="37"/>
      <c r="E35" s="37"/>
      <c r="F35" s="37"/>
    </row>
    <row r="36" spans="1:6">
      <c r="A36" s="37"/>
      <c r="B36" s="37"/>
      <c r="C36" s="37"/>
      <c r="D36" s="37"/>
      <c r="E36" s="37"/>
      <c r="F36" s="37"/>
    </row>
    <row r="37" spans="1:6">
      <c r="A37" s="37"/>
      <c r="B37" s="37"/>
      <c r="C37" s="37"/>
      <c r="D37" s="37"/>
      <c r="E37" s="37"/>
      <c r="F37" s="37"/>
    </row>
    <row r="38" spans="1:6">
      <c r="A38" s="37"/>
      <c r="B38" s="37"/>
      <c r="C38" s="37"/>
      <c r="D38" s="37"/>
      <c r="E38" s="37"/>
      <c r="F38" s="37"/>
    </row>
    <row r="39" spans="1:6">
      <c r="A39" s="37"/>
      <c r="B39" s="37"/>
      <c r="C39" s="37"/>
      <c r="D39" s="37"/>
      <c r="E39" s="37"/>
      <c r="F39" s="37"/>
    </row>
    <row r="40" spans="1:6">
      <c r="A40" s="37"/>
      <c r="B40" s="37"/>
      <c r="C40" s="37"/>
      <c r="D40" s="37"/>
      <c r="E40" s="37"/>
      <c r="F40" s="37"/>
    </row>
    <row r="41" spans="1:6">
      <c r="A41" s="37"/>
      <c r="B41" s="37"/>
      <c r="C41" s="37"/>
      <c r="D41" s="37"/>
      <c r="E41" s="37"/>
      <c r="F41" s="37"/>
    </row>
    <row r="42" spans="1:6">
      <c r="A42" s="37"/>
      <c r="B42" s="37"/>
      <c r="C42" s="37"/>
      <c r="D42" s="37"/>
      <c r="E42" s="37"/>
      <c r="F42" s="37"/>
    </row>
    <row r="43" spans="1:6">
      <c r="A43" s="37"/>
      <c r="B43" s="37"/>
      <c r="C43" s="37"/>
      <c r="D43" s="37"/>
      <c r="E43" s="37"/>
      <c r="F43" s="37"/>
    </row>
    <row r="44" spans="1:6">
      <c r="A44" s="37"/>
      <c r="B44" s="37"/>
      <c r="C44" s="37"/>
      <c r="D44" s="37"/>
      <c r="E44" s="37"/>
      <c r="F44" s="37"/>
    </row>
  </sheetData>
  <mergeCells count="2">
    <mergeCell ref="A1:F1"/>
    <mergeCell ref="A2:F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Escala de Pesos</vt:lpstr>
      <vt:lpstr>Guia para asignar el pesoCriter</vt:lpstr>
      <vt:lpstr>Matriz</vt:lpstr>
      <vt:lpstr>Justificar alternativa elegida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Fernanda ....</dc:creator>
  <cp:lastModifiedBy>Maria Fernanda MEDINA RAMIREZ</cp:lastModifiedBy>
  <dcterms:created xsi:type="dcterms:W3CDTF">2026-04-14T01:07:27Z</dcterms:created>
  <dcterms:modified xsi:type="dcterms:W3CDTF">2026-04-16T13:44:20Z</dcterms:modified>
</cp:coreProperties>
</file>